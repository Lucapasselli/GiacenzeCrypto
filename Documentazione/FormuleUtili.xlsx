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Foglio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<sst xmlns="http://schemas.openxmlformats.org/spreadsheetml/2006/main" count="10" uniqueCount="10">
  <si>
    <t>Fee</t>
  </si>
  <si>
    <t xml:space="preserve">Guadagno Lordo</t>
  </si>
  <si>
    <t>Tassa</t>
  </si>
  <si>
    <t xml:space="preserve">Tassa Reale Acquisto + vendita
(fee in moneta ricevuta)</t>
  </si>
  <si>
    <t xml:space="preserve">Tassa Reale Solo Vendita 
(fee in moneta ricevuta)</t>
  </si>
  <si>
    <t xml:space="preserve">Tassa Reale Solo Vendita 
(fee in moneta venduta)</t>
  </si>
  <si>
    <t xml:space="preserve">X GRID BOT BINANCE</t>
  </si>
  <si>
    <t xml:space="preserve">Guadagno netto</t>
  </si>
  <si>
    <t xml:space="preserve">Tassa Reale</t>
  </si>
  <si>
    <t xml:space="preserve">Tassa Reale futura 
(su movimenti non rilevanti)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</si>
</sst>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0" fillId="0" borderId="0" numFmtId="2" xfId="0" applyNumberFormat="1"/>
    <xf fontId="0" fillId="0" borderId="0" numFmtId="0" xfId="0"/>
    <xf fontId="0" fillId="0" borderId="0" numFmtId="0" xfId="0" applyAlignment="1">
      <alignment wrapText="1"/>
    </xf>
    <xf fontId="0" fillId="0" borderId="0" numFmtId="0" xfId="0" applyAlignment="1">
      <alignment wrapText="1"/>
    </xf>
    <xf fontId="0" fillId="0" borderId="0" numFmtId="10" xfId="0" applyNumberFormat="1"/>
    <xf fontId="0" fillId="0" borderId="0" numFmtId="9" xfId="0" applyNumberFormat="1">
      <protection hidden="0" locked="1"/>
    </xf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10" xfId="0" applyNumberFormat="1"/>
    <xf fontId="0" fillId="0" borderId="0" numFmtId="9" xfId="0" applyNumberFormat="1">
      <protection hidden="0" locked="1"/>
    </xf>
    <xf fontId="0" fillId="0" borderId="0" numFmtId="0" xfId="0">
      <protection hidden="0" locked="1"/>
    </xf>
    <xf fontId="0" fillId="0" borderId="0" numFmtId="0" xfId="0"/>
    <xf fontId="0" fillId="0" borderId="0" numFmtId="9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4.25"/>
  <cols>
    <col customWidth="1" min="1" max="1" style="1" width="18.7109375"/>
    <col customWidth="1" min="2" max="2" width="19.28125"/>
    <col customWidth="1" min="3" max="3" width="19.421875"/>
    <col customWidth="1" min="5" max="5" width="27.7109375"/>
    <col customWidth="1" min="7" max="7" width="22.421875"/>
    <col customWidth="1" min="9" max="9" width="23.421875"/>
  </cols>
  <sheetData>
    <row r="2" ht="14.25">
      <c r="A2" s="1"/>
    </row>
    <row r="3" ht="35" customHeight="1">
      <c r="A3" s="1" t="s">
        <v>0</v>
      </c>
      <c r="B3" t="s">
        <v>1</v>
      </c>
      <c r="C3" t="s">
        <v>2</v>
      </c>
      <c r="D3" s="2"/>
      <c r="E3" s="3" t="s">
        <v>3</v>
      </c>
      <c r="G3" s="4" t="s">
        <v>4</v>
      </c>
      <c r="I3" s="4" t="s">
        <v>5</v>
      </c>
    </row>
    <row r="4" ht="14.25">
      <c r="A4" s="5">
        <v>1.e-003</v>
      </c>
      <c r="B4" s="6">
        <v>1</v>
      </c>
      <c r="C4" s="6">
        <v>0.33000000000000002</v>
      </c>
      <c r="D4" s="7"/>
      <c r="E4" s="8">
        <f>(((1-A4)*B4*C4)/((1-A4)^2*(B4+1)-1))*100</f>
        <v>33.099331125841111</v>
      </c>
      <c r="G4">
        <f>(B4*C4/(B4-(1+B4)*A4))*100</f>
        <v>33.06613226452906</v>
      </c>
      <c r="I4">
        <f>((B4*C4)*(1-A4)/(B4-(1+B4)*A4))*100</f>
        <v>33.03306613226453</v>
      </c>
    </row>
    <row r="5" ht="14.25">
      <c r="A5" s="9">
        <v>1.e-003</v>
      </c>
      <c r="B5" s="10">
        <v>0.90000000000000002</v>
      </c>
      <c r="C5" s="10">
        <v>0.33000000000000002</v>
      </c>
      <c r="D5" s="7"/>
      <c r="E5" s="7">
        <f>(((1-A5)*B5*C5)/((1-A5)^2*(B5+1)-1))*100</f>
        <v>33.106714011652961</v>
      </c>
      <c r="G5" s="8">
        <f>(B5*C5/(B5-(1+B5)*A5))*100</f>
        <v>33.06981405188732</v>
      </c>
      <c r="I5" s="8">
        <f>((B5*C5)*(1-A5)/(B5-(1+B5)*A5))*100</f>
        <v>33.036744237835435</v>
      </c>
    </row>
    <row r="6" ht="14.25">
      <c r="A6" s="5">
        <v>1.e-003</v>
      </c>
      <c r="B6" s="6">
        <v>0.80000000000000004</v>
      </c>
      <c r="C6" s="6">
        <v>0.33000000000000002</v>
      </c>
      <c r="E6" s="8">
        <f>(((1-A6)*B6*C6)/((1-A6)^2*(B6+1)-1))*100</f>
        <v>33.115947251751557</v>
      </c>
      <c r="G6" s="8">
        <f>(B6*C6/(B6-(1+B6)*A6))*100</f>
        <v>33.074417439238282</v>
      </c>
      <c r="I6" s="8">
        <f>((B6*C6)*(1-A6)/(B6-(1+B6)*A6))*100</f>
        <v>33.041343021799051</v>
      </c>
    </row>
    <row r="7" ht="14.25">
      <c r="A7" s="5">
        <v>1.e-003</v>
      </c>
      <c r="B7" s="6">
        <v>0.69999999999999996</v>
      </c>
      <c r="C7" s="6">
        <v>0.33000000000000002</v>
      </c>
      <c r="E7" s="8">
        <f>(((1-A7)*B7*C7)/((1-A7)^2*(B7+1)-1))*100</f>
        <v>33.127826130771716</v>
      </c>
      <c r="G7" s="8">
        <f>(B7*C7/(B7-(1+B7)*A7))*100</f>
        <v>33.080337963625951</v>
      </c>
      <c r="I7" s="8">
        <f>((B7*C7)*(1-A7)/(B7-(1+B7)*A7))*100</f>
        <v>33.047257625662326</v>
      </c>
    </row>
    <row r="8" ht="14.25">
      <c r="A8" s="5">
        <v>1.e-003</v>
      </c>
      <c r="B8" s="6">
        <v>0.59999999999999998</v>
      </c>
      <c r="C8" s="6">
        <v>0.33000000000000002</v>
      </c>
      <c r="E8" s="8">
        <f>(((1-A8)*B8*C8)/((1-A8)^2*(B8+1)-1))*100</f>
        <v>33.143677898986859</v>
      </c>
      <c r="G8" s="8">
        <f>(B8*C8/(B8-(1+B8)*A8))*100</f>
        <v>33.088235294117652</v>
      </c>
      <c r="I8" s="8">
        <f>((B8*C8)*(1-A8)/(B8-(1+B8)*A8))*100</f>
        <v>33.055147058823536</v>
      </c>
    </row>
    <row r="9" ht="14.25">
      <c r="A9" s="5">
        <v>1.e-003</v>
      </c>
      <c r="B9" s="6">
        <v>0.5</v>
      </c>
      <c r="C9" s="6">
        <v>0.33000000000000002</v>
      </c>
      <c r="E9" s="11">
        <f>(((1-A9)*B9*C9)/((1-A9)^2*(B9+1)-1))*100</f>
        <v>33.165895877577825</v>
      </c>
      <c r="G9" s="8">
        <f>(B9*C9/(B9-(1+B9)*A9))*100</f>
        <v>33.099297893681047</v>
      </c>
      <c r="I9" s="8">
        <f>((B9*C9)*(1-A9)/(B9-(1+B9)*A9))*100</f>
        <v>33.06619859578737</v>
      </c>
    </row>
    <row r="10" ht="14.25">
      <c r="A10" s="5">
        <v>1.e-003</v>
      </c>
      <c r="B10" s="6">
        <v>0.40000000000000002</v>
      </c>
      <c r="C10" s="6">
        <v>0.33000000000000002</v>
      </c>
      <c r="E10" s="11">
        <f>(((1-A10)*B10*C10)/((1-A10)^2*(B10+1)-1))*100</f>
        <v>33.199278753800975</v>
      </c>
      <c r="G10" s="8">
        <f>(B10*C10/(B10-(1+B10)*A10))*100</f>
        <v>33.115905669844459</v>
      </c>
      <c r="I10" s="8">
        <f>((B10*C10)*(1-A10)/(B10-(1+B10)*A10))*100</f>
        <v>33.082789764174613</v>
      </c>
    </row>
    <row r="11" ht="14.25">
      <c r="A11" s="5">
        <v>1.e-003</v>
      </c>
      <c r="B11" s="6">
        <v>0.29999999999999999</v>
      </c>
      <c r="C11" s="6">
        <v>0.33000000000000002</v>
      </c>
      <c r="E11" s="11">
        <f>(((1-A11)*B11*C11)/((1-A11)^2*(B11+1)-1))*100</f>
        <v>33.255066470792158</v>
      </c>
      <c r="G11" s="8">
        <f>(B11*C11/(B11-(1+B11)*A11))*100</f>
        <v>33.143622363575496</v>
      </c>
      <c r="I11" s="8">
        <f>((B11*C11)*(1-A11)/(B11-(1+B11)*A11))*100</f>
        <v>33.110478741211921</v>
      </c>
    </row>
    <row r="12" ht="14.25">
      <c r="A12" s="5">
        <v>1.e-003</v>
      </c>
      <c r="B12" s="6">
        <v>0.10000000000000001</v>
      </c>
      <c r="C12" s="6">
        <v>0.33000000000000002</v>
      </c>
      <c r="E12" s="11">
        <f>(((1-A12)*B12*C12)/((1-A12)^2*(B12+1)-1))*100</f>
        <v>33.708209825860827</v>
      </c>
      <c r="G12" s="8">
        <f>(B12*C12/(B12-(1+B12)*A12))*100</f>
        <v>33.367037411526795</v>
      </c>
      <c r="I12" s="8">
        <f>((B12*C12)*(1-A12)/(B12-(1+B12)*A12))*100</f>
        <v>33.333670374115272</v>
      </c>
    </row>
    <row r="13" ht="14.25">
      <c r="A13" s="5">
        <v>1.e-003</v>
      </c>
      <c r="B13" s="6">
        <v>1.e-002</v>
      </c>
      <c r="C13" s="6">
        <v>0.33000000000000002</v>
      </c>
      <c r="E13" s="11">
        <f>(((1-A13)*B13*C13)/((1-A13)^2*(B13+1)-1))*100</f>
        <v>41.306802021298296</v>
      </c>
      <c r="G13" s="8">
        <f>(B13*C13/(B13-(1+B13)*A13))*100</f>
        <v>36.707452725250285</v>
      </c>
      <c r="I13" s="8">
        <f>((B13*C13)*(1-A13)/(B13-(1+B13)*A13))*100</f>
        <v>36.670745272525032</v>
      </c>
    </row>
    <row r="14" ht="14.25">
      <c r="E14" s="12"/>
    </row>
    <row r="15" ht="14.25">
      <c r="A15" s="1"/>
      <c r="E15" s="12"/>
    </row>
    <row r="16" ht="14.25">
      <c r="A16" s="1"/>
      <c r="E16" s="12"/>
    </row>
    <row r="17" ht="14.25">
      <c r="A17" s="1"/>
      <c r="E17" s="12"/>
    </row>
    <row r="18" ht="14.25">
      <c r="A18" s="1"/>
      <c r="E18" s="12"/>
    </row>
    <row r="19" ht="14.25">
      <c r="A19" s="1"/>
      <c r="E19" s="12"/>
    </row>
    <row r="20" ht="14.25">
      <c r="A20" s="1"/>
      <c r="E20"/>
    </row>
    <row r="21" ht="14.25">
      <c r="A21" s="1"/>
      <c r="E21" s="2"/>
    </row>
    <row r="22" ht="14.25">
      <c r="A22" s="1" t="s">
        <v>6</v>
      </c>
      <c r="E22" s="2"/>
    </row>
    <row r="23" ht="14.25" hidden="1">
      <c r="A23" s="1"/>
    </row>
    <row r="24" ht="45" customHeight="1">
      <c r="A24" s="1" t="s">
        <v>0</v>
      </c>
      <c r="B24" t="s">
        <v>7</v>
      </c>
      <c r="C24" t="s">
        <v>2</v>
      </c>
      <c r="E24" s="8" t="s">
        <v>8</v>
      </c>
      <c r="G24" s="4" t="s">
        <v>9</v>
      </c>
    </row>
    <row r="25" ht="14.25">
      <c r="A25" s="5">
        <v>1.e-003</v>
      </c>
      <c r="B25" s="5">
        <v>0.10000000000000001</v>
      </c>
      <c r="C25" s="13">
        <v>0.33000000000000002</v>
      </c>
      <c r="E25">
        <f>((B25+A25*(2-A25))/(B25*(1-A25)))*C25*100</f>
        <v>33.693363363363368</v>
      </c>
      <c r="G25">
        <f>(C25*(B25+A25)/B25)*100</f>
        <v>33.330000000000005</v>
      </c>
    </row>
    <row r="26" ht="14.25">
      <c r="A26" s="5">
        <v>1.e-003</v>
      </c>
      <c r="B26" s="5">
        <v>5.0000000000000003e-002</v>
      </c>
      <c r="C26" s="13">
        <v>0.33000000000000002</v>
      </c>
      <c r="E26" s="8">
        <f>((B26+A26*(2-A26))/(B26*(1-A26)))*C26*100</f>
        <v>34.3536936936937</v>
      </c>
      <c r="G26" s="8">
        <f>(C26*(B26+A26)/B26)*100</f>
        <v>33.660000000000004</v>
      </c>
    </row>
    <row r="27" ht="14.25">
      <c r="A27" s="5">
        <v>1.e-003</v>
      </c>
      <c r="B27" s="5">
        <v>2.e-002</v>
      </c>
      <c r="C27" s="13">
        <v>0.33000000000000002</v>
      </c>
      <c r="E27" s="8">
        <f>((B27+A27*(2-A27))/(B27*(1-A27)))*C27*100</f>
        <v>36.334684684684682</v>
      </c>
      <c r="G27" s="8">
        <f>(C27*(B27+A27)/B27)*100</f>
        <v>34.650000000000006</v>
      </c>
    </row>
    <row r="28" ht="14.25">
      <c r="A28" s="5">
        <v>1.e-003</v>
      </c>
      <c r="B28" s="5">
        <v>1.e-002</v>
      </c>
      <c r="C28" s="13">
        <v>0.33000000000000002</v>
      </c>
      <c r="E28" s="8">
        <f>((B28+A28*(2-A28))/(B28*(1-A28)))*C28*100</f>
        <v>39.636336336336335</v>
      </c>
      <c r="G28" s="8">
        <f>(C28*(B28+A28)/B28)*100</f>
        <v>36.299999999999997</v>
      </c>
    </row>
    <row r="29" ht="14.25">
      <c r="A29" s="5">
        <v>1.e-003</v>
      </c>
      <c r="B29" s="5">
        <v>5.0000000000000001e-003</v>
      </c>
      <c r="C29" s="13">
        <v>0.33000000000000002</v>
      </c>
      <c r="E29" s="8">
        <f>((B29+A29*(2-A29))/(B29*(1-A29)))*C29*100</f>
        <v>46.239639639639641</v>
      </c>
      <c r="G29" s="8">
        <f>(C29*(B29+A29)/B29)*100</f>
        <v>39.599999999999994</v>
      </c>
    </row>
    <row r="30" ht="14.25">
      <c r="A30" s="5">
        <v>1.e-003</v>
      </c>
      <c r="B30" s="5">
        <v>4.0000000000000001e-003</v>
      </c>
      <c r="C30" s="13">
        <v>0.33000000000000002</v>
      </c>
      <c r="E30" s="8">
        <f>((B30+A30*(2-A30))/(B30*(1-A30)))*C30*100</f>
        <v>49.541291291291294</v>
      </c>
      <c r="G30" s="8">
        <f>(C30*(B30+A30)/B30)*100</f>
        <v>41.25</v>
      </c>
    </row>
    <row r="31" ht="14.25">
      <c r="A31" s="5">
        <v>1.e-003</v>
      </c>
      <c r="B31" s="5">
        <v>3.0000000000000001e-003</v>
      </c>
      <c r="C31" s="13">
        <v>0.33000000000000002</v>
      </c>
      <c r="E31" s="8">
        <f>((B31+A31*(2-A31))/(B31*(1-A31)))*C31*100</f>
        <v>55.04404404404405</v>
      </c>
      <c r="G31" s="8">
        <f>(C31*(B31+A31)/B31)*100</f>
        <v>44</v>
      </c>
    </row>
    <row r="32" ht="14.25">
      <c r="A32" s="5">
        <v>1.e-003</v>
      </c>
      <c r="B32" s="5">
        <v>2.e-003</v>
      </c>
      <c r="C32" s="13">
        <v>0.33000000000000002</v>
      </c>
      <c r="E32" s="8">
        <f>((B32+A32*(2-A32))/(B32*(1-A32)))*C32*100</f>
        <v>66.049549549549567</v>
      </c>
      <c r="G32" s="8">
        <f>(C32*(B32+A32)/B32)*100</f>
        <v>49.5</v>
      </c>
    </row>
    <row r="33" ht="14.25">
      <c r="A33" s="5">
        <v>1.e-003</v>
      </c>
      <c r="B33" s="5">
        <v>1.e-003</v>
      </c>
      <c r="C33" s="13">
        <v>0.33000000000000002</v>
      </c>
      <c r="E33" s="8">
        <f>((B33+A33*(2-A33))/(B33*(1-A33)))*C33*100</f>
        <v>99.066066066066071</v>
      </c>
      <c r="G33" s="8">
        <f>(C33*(B33+A33)/B33)*100</f>
        <v>66</v>
      </c>
    </row>
    <row r="34" ht="14.25">
      <c r="A34" s="5">
        <v>1.e-003</v>
      </c>
      <c r="B34" s="5">
        <v>5.0000000000000001e-004</v>
      </c>
      <c r="C34" s="13">
        <v>0.33000000000000002</v>
      </c>
      <c r="E34" s="8">
        <f>((B34+A34*(2-A34))/(B34*(1-A34)))*C34*100</f>
        <v>165.09909909909911</v>
      </c>
      <c r="G34" s="8">
        <f>(C34*(B34+A34)/B34)*100</f>
        <v>99</v>
      </c>
    </row>
    <row r="35" ht="14.25">
      <c r="A35" s="5"/>
      <c r="B35" s="5"/>
      <c r="C35" s="13"/>
    </row>
    <row r="36" ht="14.25">
      <c r="A36" s="5"/>
      <c r="B36" s="5"/>
      <c r="C36" s="13"/>
    </row>
    <row r="37" ht="14.25">
      <c r="A37" s="5"/>
      <c r="B37" s="5"/>
      <c r="C37" s="13"/>
    </row>
    <row r="38" ht="14.25">
      <c r="A38" s="5"/>
      <c r="B38" s="5"/>
      <c r="C38" s="13"/>
    </row>
    <row r="39" ht="14.25">
      <c r="A39" s="5"/>
      <c r="B39" s="5"/>
      <c r="C39" s="13"/>
    </row>
    <row r="40" ht="14.25">
      <c r="A40" s="5"/>
      <c r="B40" s="5"/>
      <c r="C40" s="13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2026-02-25T22:51:37Z</dcterms:modified>
</cp:coreProperties>
</file>