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glio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<sst xmlns="http://schemas.openxmlformats.org/spreadsheetml/2006/main" count="10" uniqueCount="10">
  <si>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Fee</t>
  </si>
  <si>
    <t xml:space="preserve">Guadagno 
Lordo</t>
  </si>
  <si>
    <t>Tassa</t>
  </si>
  <si>
    <t xml:space="preserve">Tassa Reale Acquisto + vendita
(fee in moneta ricevuta)</t>
  </si>
  <si>
    <t xml:space="preserve">Tassa Reale Solo Vendita 
(fee in moneta ricevuta)</t>
  </si>
  <si>
    <t xml:space="preserve">Tassa Reale Solo Vendita 
(fee in moneta venduta)</t>
  </si>
  <si>
    <t xml:space="preserve">X GRID BOT BINANCE</t>
  </si>
  <si>
    <t xml:space="preserve">Guadagno netto</t>
  </si>
  <si>
    <t xml:space="preserve">Tassa Reale</t>
  </si>
  <si>
    <t xml:space="preserve">Tassa Reale futura 
(su movimenti non rilevanti)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</si>
</sst>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2" xfId="0" applyNumberFormat="1"/>
    <xf fontId="0" fillId="0" borderId="0" numFmtId="0" xfId="0" applyAlignment="1">
      <alignment wrapText="1"/>
    </xf>
    <xf fontId="0" fillId="0" borderId="0" numFmtId="0" xfId="0"/>
    <xf fontId="0" fillId="0" borderId="0" numFmtId="10" xfId="0" applyNumberFormat="1"/>
    <xf fontId="0" fillId="0" borderId="0" numFmtId="9" xfId="0" applyNumberFormat="1">
      <protection hidden="0" locked="1"/>
    </xf>
    <xf fontId="0" fillId="0" borderId="0" numFmtId="0" xfId="0">
      <protection hidden="0" locked="1"/>
    </xf>
    <xf fontId="0" fillId="0" borderId="0" numFmtId="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7.140625"/>
    <col customWidth="1" min="2" max="2" width="10.28125"/>
    <col customWidth="1" min="3" max="3" width="6.28125"/>
    <col customWidth="1" min="4" max="4" width="4.140625"/>
    <col customWidth="1" min="5" max="5" width="21.140625"/>
    <col customWidth="1" min="6" max="6" width="6.140625"/>
    <col customWidth="1" min="7" max="7" width="17.8515625"/>
    <col customWidth="1" min="8" max="8" width="5.57421875"/>
    <col customWidth="1" min="9" max="9" width="18.421875"/>
  </cols>
  <sheetData>
    <row r="2" ht="14.25" hidden="1">
      <c r="A2" s="1"/>
    </row>
    <row r="3" ht="53.25" customHeight="1">
      <c r="A3" s="1" t="s">
        <v>0</v>
      </c>
      <c r="B3" s="2" t="s">
        <v>1</v>
      </c>
      <c r="C3" t="s">
        <v>2</v>
      </c>
      <c r="D3" s="3"/>
      <c r="E3" s="2" t="s">
        <v>3</v>
      </c>
      <c r="G3" s="2" t="s">
        <v>4</v>
      </c>
      <c r="I3" s="2" t="s">
        <v>5</v>
      </c>
    </row>
    <row r="4" ht="14.25">
      <c r="A4" s="4">
        <v>1.e-003</v>
      </c>
      <c r="B4" s="5">
        <v>1</v>
      </c>
      <c r="C4" s="5">
        <v>0.33000000000000002</v>
      </c>
      <c r="D4" s="6"/>
      <c r="E4" s="6">
        <f t="shared" ref="E4:E9" si="0">(((1-A4)*B4*C4)/((1-A4)^2*(B4+1)-1))*100</f>
        <v>33.099331125841111</v>
      </c>
      <c r="G4">
        <f t="shared" ref="G4:G9" si="1">(B4*C4/(B4-(1+B4)*A4))*100</f>
        <v>33.06613226452906</v>
      </c>
      <c r="I4">
        <f t="shared" ref="I4:I9" si="2">((B4*C4)*(1-A4)/(B4-(1+B4)*A4))*100</f>
        <v>33.03306613226453</v>
      </c>
    </row>
    <row r="5" ht="14.25">
      <c r="A5" s="4">
        <v>1.e-003</v>
      </c>
      <c r="B5" s="5">
        <v>0.90000000000000002</v>
      </c>
      <c r="C5" s="5">
        <v>0.33000000000000002</v>
      </c>
      <c r="D5" s="6"/>
      <c r="E5" s="6">
        <f t="shared" si="0"/>
        <v>33.106714011652961</v>
      </c>
      <c r="G5" s="6">
        <f t="shared" si="1"/>
        <v>33.06981405188732</v>
      </c>
      <c r="I5" s="6">
        <f t="shared" si="2"/>
        <v>33.036744237835435</v>
      </c>
    </row>
    <row r="6" ht="14.25">
      <c r="A6" s="4">
        <v>1.e-003</v>
      </c>
      <c r="B6" s="5">
        <v>0.80000000000000004</v>
      </c>
      <c r="C6" s="5">
        <v>0.33000000000000002</v>
      </c>
      <c r="E6" s="6">
        <f t="shared" si="0"/>
        <v>33.115947251751557</v>
      </c>
      <c r="G6" s="6">
        <f t="shared" si="1"/>
        <v>33.074417439238282</v>
      </c>
      <c r="I6" s="6">
        <f t="shared" si="2"/>
        <v>33.041343021799051</v>
      </c>
    </row>
    <row r="7" ht="14.25">
      <c r="A7" s="4">
        <v>1.e-003</v>
      </c>
      <c r="B7" s="5">
        <v>0.69999999999999996</v>
      </c>
      <c r="C7" s="5">
        <v>0.33000000000000002</v>
      </c>
      <c r="E7" s="6">
        <f t="shared" si="0"/>
        <v>33.127826130771716</v>
      </c>
      <c r="G7" s="6">
        <f t="shared" si="1"/>
        <v>33.080337963625951</v>
      </c>
      <c r="I7" s="6">
        <f t="shared" si="2"/>
        <v>33.047257625662326</v>
      </c>
    </row>
    <row r="8" ht="14.25">
      <c r="A8" s="4">
        <v>1.e-003</v>
      </c>
      <c r="B8" s="5">
        <v>0.59999999999999998</v>
      </c>
      <c r="C8" s="5">
        <v>0.33000000000000002</v>
      </c>
      <c r="E8" s="6">
        <f t="shared" si="0"/>
        <v>33.143677898986859</v>
      </c>
      <c r="G8" s="6">
        <f t="shared" si="1"/>
        <v>33.088235294117652</v>
      </c>
      <c r="I8" s="6">
        <f t="shared" si="2"/>
        <v>33.055147058823536</v>
      </c>
    </row>
    <row r="9" ht="14.25">
      <c r="A9" s="4">
        <v>1.e-003</v>
      </c>
      <c r="B9" s="5">
        <v>0.5</v>
      </c>
      <c r="C9" s="5">
        <v>0.33000000000000002</v>
      </c>
      <c r="E9" s="6">
        <f t="shared" si="0"/>
        <v>33.165895877577825</v>
      </c>
      <c r="G9" s="6">
        <f t="shared" si="1"/>
        <v>33.099297893681047</v>
      </c>
      <c r="I9" s="6">
        <f t="shared" si="2"/>
        <v>33.06619859578737</v>
      </c>
    </row>
    <row r="10" ht="14.25">
      <c r="A10" s="4">
        <v>1.e-003</v>
      </c>
      <c r="B10" s="5">
        <v>0.40000000000000002</v>
      </c>
      <c r="C10" s="5">
        <v>0.33000000000000002</v>
      </c>
      <c r="E10" s="6">
        <f t="shared" ref="E10:E13" si="3">(((1-A10)*B10*C10)/((1-A10)^2*(B10+1)-1))*100</f>
        <v>33.199278753800975</v>
      </c>
      <c r="G10" s="6">
        <f t="shared" ref="G10:G13" si="4">(B10*C10/(B10-(1+B10)*A10))*100</f>
        <v>33.115905669844459</v>
      </c>
      <c r="I10" s="6">
        <f t="shared" ref="I10:I13" si="5">((B10*C10)*(1-A10)/(B10-(1+B10)*A10))*100</f>
        <v>33.082789764174613</v>
      </c>
    </row>
    <row r="11" ht="14.25">
      <c r="A11" s="4">
        <v>1.e-003</v>
      </c>
      <c r="B11" s="5">
        <v>0.29999999999999999</v>
      </c>
      <c r="C11" s="5">
        <v>0.33000000000000002</v>
      </c>
      <c r="E11" s="6">
        <f t="shared" si="3"/>
        <v>33.255066470792158</v>
      </c>
      <c r="G11" s="6">
        <f t="shared" si="4"/>
        <v>33.143622363575496</v>
      </c>
      <c r="I11" s="6">
        <f t="shared" si="5"/>
        <v>33.110478741211921</v>
      </c>
    </row>
    <row r="12" ht="14.25">
      <c r="A12" s="4">
        <v>1.e-003</v>
      </c>
      <c r="B12" s="5">
        <v>0.10000000000000001</v>
      </c>
      <c r="C12" s="5">
        <v>0.33000000000000002</v>
      </c>
      <c r="E12" s="6">
        <f t="shared" si="3"/>
        <v>33.708209825860827</v>
      </c>
      <c r="G12" s="6">
        <f t="shared" si="4"/>
        <v>33.367037411526795</v>
      </c>
      <c r="I12" s="6">
        <f t="shared" si="5"/>
        <v>33.333670374115272</v>
      </c>
    </row>
    <row r="13" ht="14.25">
      <c r="A13" s="4">
        <v>1.e-003</v>
      </c>
      <c r="B13" s="5">
        <v>1.e-002</v>
      </c>
      <c r="C13" s="5">
        <v>0.33000000000000002</v>
      </c>
      <c r="E13" s="6">
        <f t="shared" si="3"/>
        <v>41.306802021298296</v>
      </c>
      <c r="G13" s="6">
        <f t="shared" si="4"/>
        <v>36.707452725250285</v>
      </c>
      <c r="I13" s="6">
        <f t="shared" si="5"/>
        <v>36.670745272525032</v>
      </c>
    </row>
    <row r="14" ht="14.25">
      <c r="A14" s="4">
        <v>0.10000000000000001</v>
      </c>
      <c r="B14" s="5">
        <v>0.5</v>
      </c>
      <c r="C14" s="5">
        <v>0.33000000000000002</v>
      </c>
      <c r="D14" s="6"/>
      <c r="E14" s="6">
        <f>(((1-A14)*B14*C14)/((1-A14)^2*(B14+1)-1))*100</f>
        <v>69.069767441860449</v>
      </c>
      <c r="F14" s="6"/>
      <c r="G14" s="6">
        <f>(B14*C14/(B14-(1+B14)*A14))*100</f>
        <v>47.142857142857146</v>
      </c>
      <c r="H14" s="6"/>
      <c r="I14" s="6">
        <f>((B14*C14)*(1-A14)/(B14-(1+B14)*A14))*100</f>
        <v>42.428571428571438</v>
      </c>
    </row>
    <row r="15" ht="14.25">
      <c r="A15" s="4"/>
      <c r="B15" s="4"/>
      <c r="C15" s="7"/>
      <c r="E15" s="6"/>
      <c r="G15" s="6"/>
      <c r="I15" s="6"/>
    </row>
    <row r="16" ht="14.25">
      <c r="A16" s="1"/>
      <c r="E16" s="3"/>
    </row>
    <row r="17" ht="14.25">
      <c r="A17" s="1"/>
      <c r="E17" s="3"/>
    </row>
    <row r="18" ht="14.25">
      <c r="A18" s="1"/>
      <c r="E18" s="3"/>
    </row>
    <row r="19" ht="14.25">
      <c r="A19" s="1"/>
      <c r="E19" s="3"/>
    </row>
    <row r="20" ht="14.25">
      <c r="A20" s="1"/>
    </row>
    <row r="21" ht="14.25">
      <c r="A21" s="1"/>
      <c r="E21" s="3"/>
    </row>
    <row r="22" ht="14.25">
      <c r="A22" s="1" t="s">
        <v>6</v>
      </c>
      <c r="E22" s="3"/>
    </row>
    <row r="23" ht="14.25" hidden="1">
      <c r="A23" s="1"/>
    </row>
    <row r="24" ht="45" customHeight="1">
      <c r="A24" s="1" t="s">
        <v>0</v>
      </c>
      <c r="B24" t="s">
        <v>7</v>
      </c>
      <c r="C24" t="s">
        <v>2</v>
      </c>
      <c r="E24" s="6" t="s">
        <v>8</v>
      </c>
      <c r="G24" s="2" t="s">
        <v>9</v>
      </c>
    </row>
    <row r="25" ht="14.25">
      <c r="A25" s="4">
        <v>1.e-003</v>
      </c>
      <c r="B25" s="4">
        <v>0.10000000000000001</v>
      </c>
      <c r="C25" s="7">
        <v>0.33000000000000002</v>
      </c>
      <c r="E25">
        <f t="shared" ref="E25:E34" si="6">((B25+A25*(2-A25))/(B25*(1-A25)))*C25*100</f>
        <v>33.693363363363368</v>
      </c>
      <c r="G25">
        <f t="shared" ref="G25:G34" si="7">(C25*(B25+A25)/B25)*100</f>
        <v>33.330000000000005</v>
      </c>
    </row>
    <row r="26" ht="14.25">
      <c r="A26" s="4">
        <v>1.e-003</v>
      </c>
      <c r="B26" s="4">
        <v>5.0000000000000003e-002</v>
      </c>
      <c r="C26" s="7">
        <v>0.33000000000000002</v>
      </c>
      <c r="E26" s="6">
        <f t="shared" si="6"/>
        <v>34.3536936936937</v>
      </c>
      <c r="G26" s="6">
        <f t="shared" si="7"/>
        <v>33.660000000000004</v>
      </c>
    </row>
    <row r="27" ht="14.25">
      <c r="A27" s="4">
        <v>1.e-003</v>
      </c>
      <c r="B27" s="4">
        <v>2.e-002</v>
      </c>
      <c r="C27" s="7">
        <v>0.33000000000000002</v>
      </c>
      <c r="E27" s="6">
        <f t="shared" si="6"/>
        <v>36.334684684684682</v>
      </c>
      <c r="G27" s="6">
        <f t="shared" si="7"/>
        <v>34.650000000000006</v>
      </c>
    </row>
    <row r="28" ht="14.25">
      <c r="A28" s="4">
        <v>1.e-003</v>
      </c>
      <c r="B28" s="4">
        <v>1.e-002</v>
      </c>
      <c r="C28" s="7">
        <v>0.33000000000000002</v>
      </c>
      <c r="E28" s="6">
        <f t="shared" si="6"/>
        <v>39.636336336336335</v>
      </c>
      <c r="G28" s="6">
        <f t="shared" si="7"/>
        <v>36.299999999999997</v>
      </c>
    </row>
    <row r="29" ht="14.25">
      <c r="A29" s="4">
        <v>1.e-003</v>
      </c>
      <c r="B29" s="4">
        <v>5.0000000000000001e-003</v>
      </c>
      <c r="C29" s="7">
        <v>0.33000000000000002</v>
      </c>
      <c r="E29" s="6">
        <f t="shared" si="6"/>
        <v>46.239639639639641</v>
      </c>
      <c r="G29" s="6">
        <f t="shared" si="7"/>
        <v>39.599999999999994</v>
      </c>
    </row>
    <row r="30" ht="14.25">
      <c r="A30" s="4">
        <v>1.e-003</v>
      </c>
      <c r="B30" s="4">
        <v>4.0000000000000001e-003</v>
      </c>
      <c r="C30" s="7">
        <v>0.33000000000000002</v>
      </c>
      <c r="E30" s="6">
        <f t="shared" si="6"/>
        <v>49.541291291291294</v>
      </c>
      <c r="G30" s="6">
        <f t="shared" si="7"/>
        <v>41.25</v>
      </c>
    </row>
    <row r="31" ht="14.25">
      <c r="A31" s="4">
        <v>1.e-003</v>
      </c>
      <c r="B31" s="4">
        <v>3.0000000000000001e-003</v>
      </c>
      <c r="C31" s="7">
        <v>0.33000000000000002</v>
      </c>
      <c r="E31" s="6">
        <f t="shared" si="6"/>
        <v>55.04404404404405</v>
      </c>
      <c r="G31" s="6">
        <f t="shared" si="7"/>
        <v>44</v>
      </c>
    </row>
    <row r="32" ht="14.25">
      <c r="A32" s="4">
        <v>1.e-003</v>
      </c>
      <c r="B32" s="4">
        <v>2.e-003</v>
      </c>
      <c r="C32" s="7">
        <v>0.33000000000000002</v>
      </c>
      <c r="E32" s="6">
        <f t="shared" si="6"/>
        <v>66.049549549549567</v>
      </c>
      <c r="G32" s="6">
        <f t="shared" si="7"/>
        <v>49.5</v>
      </c>
    </row>
    <row r="33" ht="14.25">
      <c r="A33" s="4">
        <v>1.e-003</v>
      </c>
      <c r="B33" s="4">
        <v>1.e-003</v>
      </c>
      <c r="C33" s="7">
        <v>0.33000000000000002</v>
      </c>
      <c r="E33" s="6">
        <f t="shared" si="6"/>
        <v>99.066066066066071</v>
      </c>
      <c r="G33" s="6">
        <f t="shared" si="7"/>
        <v>66</v>
      </c>
    </row>
    <row r="34" ht="14.25">
      <c r="A34" s="4">
        <v>1.e-003</v>
      </c>
      <c r="B34" s="4">
        <v>5.0000000000000001e-004</v>
      </c>
      <c r="C34" s="7">
        <v>0.33000000000000002</v>
      </c>
      <c r="E34" s="6">
        <f t="shared" si="6"/>
        <v>165.09909909909911</v>
      </c>
      <c r="G34" s="6">
        <f t="shared" si="7"/>
        <v>99</v>
      </c>
    </row>
    <row r="35" ht="14.25">
      <c r="A35" s="4"/>
      <c r="B35" s="4"/>
      <c r="C35" s="7"/>
    </row>
    <row r="36" ht="14.25">
      <c r="A36" s="4"/>
      <c r="B36" s="4"/>
      <c r="C36" s="7"/>
    </row>
    <row r="37" ht="14.25">
      <c r="A37" s="4"/>
      <c r="B37" s="4"/>
      <c r="C37" s="7"/>
    </row>
    <row r="38" ht="14.25">
      <c r="A38" s="4"/>
      <c r="B38" s="4"/>
      <c r="C38" s="7"/>
    </row>
    <row r="39" ht="14.25">
      <c r="A39" s="4"/>
      <c r="B39" s="4"/>
      <c r="C39" s="7"/>
    </row>
    <row r="40" ht="14.25">
      <c r="A40" s="4"/>
      <c r="B40" s="4"/>
      <c r="C40" s="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2026-02-26T18:00:45Z</dcterms:modified>
</cp:coreProperties>
</file>